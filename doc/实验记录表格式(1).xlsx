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10246\Desktop\"/>
    </mc:Choice>
  </mc:AlternateContent>
  <xr:revisionPtr revIDLastSave="0" documentId="13_ncr:1_{CC25BEE7-F851-4E98-9F97-1AB9E880D8F4}" xr6:coauthVersionLast="47" xr6:coauthVersionMax="47" xr10:uidLastSave="{00000000-0000-0000-0000-000000000000}"/>
  <bookViews>
    <workbookView xWindow="-192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G8" i="1"/>
  <c r="M7" i="1"/>
  <c r="G7" i="1"/>
  <c r="M6" i="1"/>
  <c r="G6" i="1"/>
  <c r="M5" i="1"/>
  <c r="G5" i="1"/>
  <c r="M4" i="1"/>
  <c r="G4" i="1"/>
  <c r="M3" i="1"/>
  <c r="G3" i="1"/>
</calcChain>
</file>

<file path=xl/sharedStrings.xml><?xml version="1.0" encoding="utf-8"?>
<sst xmlns="http://schemas.openxmlformats.org/spreadsheetml/2006/main" count="64" uniqueCount="37">
  <si>
    <t>海南3机组  安全壳隔离阀密封性试验记录</t>
  </si>
  <si>
    <t>系统</t>
  </si>
  <si>
    <t>贯穿件直径</t>
  </si>
  <si>
    <t>试验阀门</t>
  </si>
  <si>
    <t>RCC-M或可靠性等级</t>
    <phoneticPr fontId="1" type="noConversion"/>
  </si>
  <si>
    <t>阀门公称直径（mm）</t>
  </si>
  <si>
    <r>
      <rPr>
        <sz val="9"/>
        <rFont val="黑体"/>
        <family val="3"/>
        <charset val="134"/>
      </rPr>
      <t>阀门泄漏率设计最大值（Ncm</t>
    </r>
    <r>
      <rPr>
        <vertAlign val="superscript"/>
        <sz val="9"/>
        <rFont val="黑体"/>
        <family val="3"/>
        <charset val="134"/>
      </rPr>
      <t>3</t>
    </r>
    <r>
      <rPr>
        <sz val="9"/>
        <rFont val="黑体"/>
        <family val="3"/>
        <charset val="134"/>
      </rPr>
      <t>/h）</t>
    </r>
  </si>
  <si>
    <t>试验方法</t>
  </si>
  <si>
    <t>试验压力(KPa)</t>
  </si>
  <si>
    <t>试验介质</t>
  </si>
  <si>
    <t>试验仪器读数</t>
  </si>
  <si>
    <t>试验仪器读数单位</t>
  </si>
  <si>
    <t>泄漏率值（气）（Nml/h）</t>
  </si>
  <si>
    <t>试验仪器编号</t>
  </si>
  <si>
    <t>试验日期</t>
  </si>
  <si>
    <t>备注</t>
  </si>
  <si>
    <t>CAM</t>
  </si>
  <si>
    <t>PN217</t>
  </si>
  <si>
    <t>3CAM003VA</t>
  </si>
  <si>
    <t>1B</t>
  </si>
  <si>
    <t>气</t>
  </si>
  <si>
    <t>110.15</t>
    <phoneticPr fontId="1" type="noConversion"/>
  </si>
  <si>
    <t>Nml/min</t>
  </si>
  <si>
    <t>B-GLM-A1-002</t>
  </si>
  <si>
    <t>流量补充法</t>
  </si>
  <si>
    <t>3CAM005VA</t>
  </si>
  <si>
    <t>103.23</t>
    <phoneticPr fontId="1" type="noConversion"/>
  </si>
  <si>
    <t>PN218</t>
  </si>
  <si>
    <t>3CAM004VA</t>
  </si>
  <si>
    <t>99.95</t>
    <phoneticPr fontId="1" type="noConversion"/>
  </si>
  <si>
    <t>3CAM006VA</t>
  </si>
  <si>
    <t>109.67</t>
    <phoneticPr fontId="1" type="noConversion"/>
  </si>
  <si>
    <t>PN219</t>
  </si>
  <si>
    <t>3CAM007VA</t>
  </si>
  <si>
    <t>112.23</t>
    <phoneticPr fontId="1" type="noConversion"/>
  </si>
  <si>
    <t>3CAM009VA</t>
  </si>
  <si>
    <t>82.30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</si>
</sst>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0_);[Red]\(0.00\)"/>
    <numFmt numFmtId="178" formatCode="0.0_);[Red]\(0.0\)"/>
    <numFmt numFmtId="179" formatCode="yyyy/m/d;@"/>
    <numFmt numFmtId="180" formatCode="0_);[Red]\(0\)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4"/>
      <name val="黑体"/>
      <family val="3"/>
      <charset val="134"/>
    </font>
    <font>
      <sz val="11"/>
      <name val="等线"/>
      <family val="3"/>
      <charset val="134"/>
      <scheme val="minor"/>
    </font>
    <font>
      <sz val="9"/>
      <name val="黑体"/>
      <family val="3"/>
      <charset val="134"/>
    </font>
    <font>
      <vertAlign val="superscript"/>
      <sz val="9"/>
      <name val="黑体"/>
      <family val="3"/>
      <charset val="134"/>
    </font>
    <font>
      <sz val="10"/>
      <name val="Times New Roman"/>
      <family val="1"/>
    </font>
    <font>
      <sz val="8"/>
      <name val="Times New Roman"/>
      <family val="1"/>
    </font>
    <font>
      <sz val="8"/>
      <name val="宋体"/>
      <family val="3"/>
      <charset val="134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176" fontId="3" fillId="2" borderId="2" xfId="1" applyNumberFormat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5" fillId="3" borderId="4" xfId="1" applyFont="1" applyFill="1" applyBorder="1" applyAlignment="1" applyProtection="1">
      <alignment horizontal="center" vertical="center" wrapText="1"/>
      <protection locked="0"/>
    </xf>
    <xf numFmtId="0" fontId="5" fillId="3" borderId="4" xfId="1" applyFont="1" applyFill="1" applyBorder="1" applyAlignment="1" applyProtection="1">
      <alignment horizontal="center" vertical="center"/>
      <protection locked="0"/>
    </xf>
    <xf numFmtId="177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49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178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179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180" fontId="7" fillId="4" borderId="5" xfId="1" applyNumberFormat="1" applyFont="1" applyFill="1" applyBorder="1" applyAlignment="1" applyProtection="1">
      <alignment horizontal="center" vertical="center"/>
      <protection locked="0"/>
    </xf>
    <xf numFmtId="0" fontId="7" fillId="4" borderId="5" xfId="1" applyFont="1" applyFill="1" applyBorder="1" applyAlignment="1" applyProtection="1">
      <alignment horizontal="center" vertical="center" wrapText="1"/>
      <protection locked="0"/>
    </xf>
    <xf numFmtId="0" fontId="7" fillId="4" borderId="4" xfId="1" applyFont="1" applyFill="1" applyBorder="1" applyAlignment="1" applyProtection="1">
      <alignment horizontal="center" vertical="center"/>
      <protection locked="0"/>
    </xf>
    <xf numFmtId="0" fontId="7" fillId="4" borderId="4" xfId="1" applyFont="1" applyFill="1" applyBorder="1" applyAlignment="1" applyProtection="1">
      <alignment horizontal="center" vertical="center" wrapText="1"/>
      <protection locked="0"/>
    </xf>
    <xf numFmtId="0" fontId="8" fillId="4" borderId="4" xfId="1" applyFont="1" applyFill="1" applyBorder="1" applyAlignment="1" applyProtection="1">
      <alignment horizontal="center" vertical="center" wrapText="1"/>
      <protection locked="0"/>
    </xf>
    <xf numFmtId="177" fontId="7" fillId="4" borderId="4" xfId="1" applyNumberFormat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 vertical="center" wrapText="1"/>
      <protection locked="0"/>
    </xf>
    <xf numFmtId="49" fontId="7" fillId="4" borderId="4" xfId="1" applyNumberFormat="1" applyFont="1" applyFill="1" applyBorder="1" applyAlignment="1" applyProtection="1">
      <alignment horizontal="center" vertical="center"/>
      <protection locked="0"/>
    </xf>
    <xf numFmtId="178" fontId="7" fillId="4" borderId="4" xfId="1" applyNumberFormat="1" applyFont="1" applyFill="1" applyBorder="1" applyAlignment="1" applyProtection="1">
      <alignment horizontal="center" vertical="center"/>
      <protection locked="0"/>
    </xf>
    <xf numFmtId="179" fontId="7" fillId="4" borderId="4" xfId="1" applyNumberFormat="1" applyFont="1" applyFill="1" applyBorder="1" applyAlignment="1" applyProtection="1">
      <alignment horizontal="center" vertical="center"/>
      <protection locked="0"/>
    </xf>
    <xf numFmtId="180" fontId="10" fillId="4" borderId="4" xfId="1" applyNumberFormat="1" applyFont="1" applyFill="1" applyBorder="1" applyAlignment="1" applyProtection="1">
      <alignment horizontal="center" vertical="center" wrapText="1"/>
      <protection locked="0"/>
    </xf>
    <xf numFmtId="180" fontId="7" fillId="4" borderId="6" xfId="1" applyNumberFormat="1" applyFont="1" applyFill="1" applyBorder="1" applyAlignment="1" applyProtection="1">
      <alignment horizontal="center" vertical="center"/>
      <protection locked="0"/>
    </xf>
    <xf numFmtId="0" fontId="7" fillId="4" borderId="6" xfId="1" applyFont="1" applyFill="1" applyBorder="1" applyAlignment="1" applyProtection="1">
      <alignment horizontal="center" vertical="center" wrapText="1"/>
      <protection locked="0"/>
    </xf>
  </cellXfs>
  <cellStyles count="2">
    <cellStyle name="常规" xfId="0" builtinId="0"/>
    <cellStyle name="常规 2" xfId="1" xr:uid="{2F0F87D8-A376-492E-9CD9-9D1CD6969A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70" zoomScaleNormal="70" workbookViewId="0">
      <selection activeCell="S6" sqref="S6"/>
    </sheetView>
  </sheetViews>
  <sheetFormatPr defaultRowHeight="14.25" x14ac:dyDescent="0.2"/>
  <cols>
    <col min="1" max="1" width="5.25" bestFit="1" customWidth="1"/>
    <col min="2" max="2" width="5.875" bestFit="1" customWidth="1"/>
    <col min="4" max="4" width="10.75" bestFit="1" customWidth="1"/>
    <col min="5" max="5" width="15.375" bestFit="1" customWidth="1"/>
    <col min="7" max="7" width="9.375" bestFit="1" customWidth="1"/>
    <col min="8" max="10" width="7.75" bestFit="1" customWidth="1"/>
    <col min="13" max="13" width="8.5" bestFit="1" customWidth="1"/>
    <col min="14" max="14" width="12.25" bestFit="1" customWidth="1"/>
    <col min="15" max="15" width="7.875" bestFit="1" customWidth="1"/>
  </cols>
  <sheetData>
    <row r="1" spans="1:16" ht="18.7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4"/>
      <c r="P1" s="5"/>
    </row>
    <row r="2" spans="1:16" ht="36" x14ac:dyDescent="0.2">
      <c r="A2" s="6" t="s">
        <v>1</v>
      </c>
      <c r="B2" s="6"/>
      <c r="C2" s="6" t="s">
        <v>2</v>
      </c>
      <c r="D2" s="7" t="s">
        <v>3</v>
      </c>
      <c r="E2" s="7" t="s">
        <v>4</v>
      </c>
      <c r="F2" s="8" t="s">
        <v>5</v>
      </c>
      <c r="G2" s="8" t="s">
        <v>6</v>
      </c>
      <c r="H2" s="6" t="s">
        <v>7</v>
      </c>
      <c r="I2" s="8" t="s">
        <v>8</v>
      </c>
      <c r="J2" s="6" t="s">
        <v>9</v>
      </c>
      <c r="K2" s="9" t="s">
        <v>10</v>
      </c>
      <c r="L2" s="10" t="s">
        <v>11</v>
      </c>
      <c r="M2" s="8" t="s">
        <v>12</v>
      </c>
      <c r="N2" s="8" t="s">
        <v>13</v>
      </c>
      <c r="O2" s="11" t="s">
        <v>14</v>
      </c>
      <c r="P2" s="9" t="s">
        <v>15</v>
      </c>
    </row>
    <row r="3" spans="1:16" ht="27" x14ac:dyDescent="0.2">
      <c r="A3" s="12" t="s">
        <v>16</v>
      </c>
      <c r="B3" s="12" t="s">
        <v>17</v>
      </c>
      <c r="C3" s="13">
        <v>350</v>
      </c>
      <c r="D3" s="14" t="s">
        <v>18</v>
      </c>
      <c r="E3" s="14"/>
      <c r="F3" s="14">
        <v>350</v>
      </c>
      <c r="G3" s="15">
        <f>F3*19.7</f>
        <v>6895</v>
      </c>
      <c r="H3" s="16" t="s">
        <v>19</v>
      </c>
      <c r="I3" s="17">
        <v>423</v>
      </c>
      <c r="J3" s="18" t="s">
        <v>20</v>
      </c>
      <c r="K3" s="19" t="s">
        <v>21</v>
      </c>
      <c r="L3" s="20" t="s">
        <v>22</v>
      </c>
      <c r="M3" s="17">
        <f>K3*60</f>
        <v>6609</v>
      </c>
      <c r="N3" s="14" t="s">
        <v>23</v>
      </c>
      <c r="O3" s="21">
        <v>45847</v>
      </c>
      <c r="P3" s="22" t="s">
        <v>24</v>
      </c>
    </row>
    <row r="4" spans="1:16" ht="27" x14ac:dyDescent="0.2">
      <c r="A4" s="23"/>
      <c r="B4" s="23"/>
      <c r="C4" s="24"/>
      <c r="D4" s="14" t="s">
        <v>25</v>
      </c>
      <c r="E4" s="14"/>
      <c r="F4" s="14">
        <v>350</v>
      </c>
      <c r="G4" s="15">
        <f t="shared" ref="G4:G8" si="0">F4*19.7</f>
        <v>6895</v>
      </c>
      <c r="H4" s="16" t="s">
        <v>19</v>
      </c>
      <c r="I4" s="17">
        <v>425</v>
      </c>
      <c r="J4" s="18" t="s">
        <v>20</v>
      </c>
      <c r="K4" s="19" t="s">
        <v>26</v>
      </c>
      <c r="L4" s="20" t="s">
        <v>22</v>
      </c>
      <c r="M4" s="17">
        <f>K4*60</f>
        <v>6193.8</v>
      </c>
      <c r="N4" s="14" t="s">
        <v>23</v>
      </c>
      <c r="O4" s="21">
        <v>45847</v>
      </c>
      <c r="P4" s="22" t="s">
        <v>24</v>
      </c>
    </row>
    <row r="5" spans="1:16" ht="27" x14ac:dyDescent="0.2">
      <c r="A5" s="12" t="s">
        <v>16</v>
      </c>
      <c r="B5" s="12" t="s">
        <v>27</v>
      </c>
      <c r="C5" s="13">
        <v>350</v>
      </c>
      <c r="D5" s="14" t="s">
        <v>28</v>
      </c>
      <c r="E5" s="14"/>
      <c r="F5" s="14">
        <v>350</v>
      </c>
      <c r="G5" s="15">
        <f t="shared" si="0"/>
        <v>6895</v>
      </c>
      <c r="H5" s="16" t="s">
        <v>19</v>
      </c>
      <c r="I5" s="17">
        <v>430</v>
      </c>
      <c r="J5" s="18" t="s">
        <v>20</v>
      </c>
      <c r="K5" s="19" t="s">
        <v>29</v>
      </c>
      <c r="L5" s="20" t="s">
        <v>22</v>
      </c>
      <c r="M5" s="17">
        <f t="shared" ref="M5:M8" si="1">K5*60</f>
        <v>5997</v>
      </c>
      <c r="N5" s="14" t="s">
        <v>23</v>
      </c>
      <c r="O5" s="21">
        <v>45847</v>
      </c>
      <c r="P5" s="22" t="s">
        <v>24</v>
      </c>
    </row>
    <row r="6" spans="1:16" ht="27" x14ac:dyDescent="0.2">
      <c r="A6" s="23"/>
      <c r="B6" s="23"/>
      <c r="C6" s="24"/>
      <c r="D6" s="14" t="s">
        <v>30</v>
      </c>
      <c r="E6" s="14"/>
      <c r="F6" s="14">
        <v>350</v>
      </c>
      <c r="G6" s="15">
        <f t="shared" si="0"/>
        <v>6895</v>
      </c>
      <c r="H6" s="16" t="s">
        <v>19</v>
      </c>
      <c r="I6" s="17">
        <v>427</v>
      </c>
      <c r="J6" s="18" t="s">
        <v>20</v>
      </c>
      <c r="K6" s="19" t="s">
        <v>31</v>
      </c>
      <c r="L6" s="20" t="s">
        <v>22</v>
      </c>
      <c r="M6" s="17">
        <f t="shared" si="1"/>
        <v>6580.2</v>
      </c>
      <c r="N6" s="14" t="s">
        <v>23</v>
      </c>
      <c r="O6" s="21">
        <v>45847</v>
      </c>
      <c r="P6" s="22" t="s">
        <v>24</v>
      </c>
    </row>
    <row r="7" spans="1:16" ht="27" x14ac:dyDescent="0.2">
      <c r="A7" s="12" t="s">
        <v>16</v>
      </c>
      <c r="B7" s="12" t="s">
        <v>32</v>
      </c>
      <c r="C7" s="13">
        <v>350</v>
      </c>
      <c r="D7" s="14" t="s">
        <v>33</v>
      </c>
      <c r="E7" s="14"/>
      <c r="F7" s="14">
        <v>350</v>
      </c>
      <c r="G7" s="15">
        <f t="shared" si="0"/>
        <v>6895</v>
      </c>
      <c r="H7" s="16" t="s">
        <v>19</v>
      </c>
      <c r="I7" s="17">
        <v>421</v>
      </c>
      <c r="J7" s="18" t="s">
        <v>20</v>
      </c>
      <c r="K7" s="19" t="s">
        <v>34</v>
      </c>
      <c r="L7" s="20" t="s">
        <v>22</v>
      </c>
      <c r="M7" s="17">
        <f t="shared" si="1"/>
        <v>6733.8</v>
      </c>
      <c r="N7" s="14" t="s">
        <v>23</v>
      </c>
      <c r="O7" s="21">
        <v>45848</v>
      </c>
      <c r="P7" s="22" t="s">
        <v>24</v>
      </c>
    </row>
    <row r="8" spans="1:16" ht="27" x14ac:dyDescent="0.2">
      <c r="A8" s="23"/>
      <c r="B8" s="23"/>
      <c r="C8" s="24"/>
      <c r="D8" s="14" t="s">
        <v>35</v>
      </c>
      <c r="E8" s="14"/>
      <c r="F8" s="14">
        <v>350</v>
      </c>
      <c r="G8" s="15">
        <f t="shared" si="0"/>
        <v>6895</v>
      </c>
      <c r="H8" s="16" t="s">
        <v>19</v>
      </c>
      <c r="I8" s="17">
        <v>425</v>
      </c>
      <c r="J8" s="18" t="s">
        <v>20</v>
      </c>
      <c r="K8" s="19" t="s">
        <v>36</v>
      </c>
      <c r="L8" s="20" t="s">
        <v>22</v>
      </c>
      <c r="M8" s="17">
        <f t="shared" si="1"/>
        <v>4938</v>
      </c>
      <c r="N8" s="14" t="s">
        <v>23</v>
      </c>
      <c r="O8" s="21">
        <v>45847</v>
      </c>
      <c r="P8" s="22" t="s">
        <v>24</v>
      </c>
    </row>
  </sheetData>
  <mergeCells count="10">
    <mergeCell ref="A7:A8"/>
    <mergeCell ref="B7:B8"/>
    <mergeCell ref="C7:C8"/>
    <mergeCell ref="A1:O1"/>
    <mergeCell ref="A3:A4"/>
    <mergeCell ref="B3:B4"/>
    <mergeCell ref="C3:C4"/>
    <mergeCell ref="A5:A6"/>
    <mergeCell ref="B5:B6"/>
    <mergeCell ref="C5:C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10246</dc:creator>
  <cp:lastModifiedBy>杨鑫宇</cp:lastModifiedBy>
  <dcterms:created xsi:type="dcterms:W3CDTF">2015-06-05T18:19:34Z</dcterms:created>
  <dcterms:modified xsi:type="dcterms:W3CDTF">2026-08-03T07:01:47Z</dcterms:modified>
</cp:coreProperties>
</file>